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ae9372a7cebaa8c/Desktop/MAPUP/"/>
    </mc:Choice>
  </mc:AlternateContent>
  <xr:revisionPtr revIDLastSave="0" documentId="8_{D423FEFD-8BEC-4113-B604-7051AB8EC8F7}" xr6:coauthVersionLast="47" xr6:coauthVersionMax="47" xr10:uidLastSave="{00000000-0000-0000-0000-000000000000}"/>
  <bookViews>
    <workbookView xWindow="-120" yWindow="-120" windowWidth="20730" windowHeight="11160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Dataset!$H$1:$H$40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81029"/>
</workbook>
</file>

<file path=xl/calcChain.xml><?xml version="1.0" encoding="utf-8"?>
<calcChain xmlns="http://schemas.openxmlformats.org/spreadsheetml/2006/main">
  <c r="C25" i="20" l="1"/>
  <c r="C26" i="20"/>
  <c r="C27" i="20"/>
  <c r="C28" i="20"/>
  <c r="C29" i="20"/>
  <c r="C30" i="20"/>
  <c r="C31" i="20"/>
  <c r="C32" i="20"/>
  <c r="C33" i="20"/>
  <c r="C34" i="20"/>
  <c r="C35" i="20"/>
  <c r="C24" i="20"/>
  <c r="C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23" i="20"/>
  <c r="C22" i="19"/>
  <c r="B7" i="18"/>
  <c r="C7" i="18"/>
  <c r="B8" i="18"/>
  <c r="C8" i="18"/>
  <c r="B9" i="18"/>
  <c r="C9" i="18"/>
  <c r="B10" i="18"/>
  <c r="C10" i="18"/>
  <c r="B11" i="18"/>
  <c r="C11" i="18"/>
  <c r="B12" i="18"/>
  <c r="C12" i="18"/>
  <c r="B13" i="18"/>
  <c r="C13" i="18"/>
  <c r="B14" i="18"/>
  <c r="C14" i="18"/>
  <c r="B15" i="18"/>
  <c r="C15" i="18"/>
  <c r="B16" i="18"/>
  <c r="C16" i="18"/>
  <c r="B17" i="18"/>
  <c r="C17" i="18"/>
  <c r="B18" i="18"/>
  <c r="C18" i="18"/>
  <c r="B19" i="18"/>
  <c r="C19" i="18"/>
  <c r="B20" i="18"/>
  <c r="C20" i="18"/>
  <c r="B21" i="18"/>
  <c r="C21" i="18"/>
  <c r="B22" i="18"/>
  <c r="C22" i="18"/>
  <c r="B23" i="18"/>
  <c r="C23" i="18"/>
  <c r="B24" i="18"/>
  <c r="C24" i="18"/>
  <c r="B25" i="18"/>
  <c r="C25" i="18"/>
  <c r="B26" i="18"/>
  <c r="C26" i="18"/>
  <c r="B27" i="18"/>
  <c r="C27" i="18"/>
  <c r="B6" i="18"/>
  <c r="B30" i="18" s="1"/>
  <c r="C6" i="18"/>
  <c r="D30" i="18"/>
  <c r="E30" i="18"/>
  <c r="F30" i="18"/>
  <c r="D29" i="18"/>
  <c r="E29" i="18"/>
  <c r="F29" i="18"/>
  <c r="D28" i="18"/>
  <c r="E28" i="18"/>
  <c r="F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5" i="15"/>
  <c r="C30" i="18" l="1"/>
  <c r="B28" i="18"/>
  <c r="B29" i="18"/>
  <c r="C28" i="18"/>
  <c r="C29" i="18"/>
</calcChain>
</file>

<file path=xl/sharedStrings.xml><?xml version="1.0" encoding="utf-8"?>
<sst xmlns="http://schemas.openxmlformats.org/spreadsheetml/2006/main" count="408" uniqueCount="185">
  <si>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</si>
  <si>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</si>
  <si>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</si>
  <si>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</si>
  <si>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</si>
  <si>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</si>
  <si>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</si>
  <si>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</si>
  <si>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</si>
  <si>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</si>
  <si>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</si>
  <si>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</si>
  <si>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</si>
  <si>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</si>
  <si>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</si>
  <si>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</si>
  <si>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</si>
  <si>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</si>
  <si>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</si>
  <si>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</si>
  <si>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</si>
  <si>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</si>
  <si>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</si>
  <si>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</si>
  <si>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</si>
  <si>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</si>
  <si>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</si>
  <si>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</si>
  <si>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</si>
  <si>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</si>
  <si>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</si>
  <si>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</si>
  <si>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</si>
  <si>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</si>
  <si>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</si>
  <si>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</si>
  <si>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</si>
  <si>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</si>
  <si>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</si>
  <si>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</si>
  <si>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</si>
  <si>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</si>
  <si>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</si>
  <si>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</si>
  <si>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</si>
  <si>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</si>
  <si>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</si>
  <si>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</si>
  <si>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</si>
  <si>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</si>
  <si>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</si>
  <si>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</si>
  <si>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</si>
  <si>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</si>
  <si>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</si>
  <si>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</si>
  <si>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</si>
  <si>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</si>
  <si>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</si>
  <si>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</si>
  <si>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</si>
  <si>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</si>
  <si>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</si>
  <si>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</si>
  <si>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</si>
  <si>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</si>
  <si>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</si>
  <si>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</si>
  <si>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</si>
  <si>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</si>
  <si>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</si>
  <si>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</si>
  <si>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</si>
  <si>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</si>
  <si>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</si>
  <si>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</si>
  <si>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</si>
  <si>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</si>
  <si>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</si>
  <si>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</si>
  <si>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</si>
  <si>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</si>
  <si>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</si>
  <si>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</si>
  <si>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</si>
  <si>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</si>
  <si>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</si>
  <si>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</si>
  <si>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</si>
  <si>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</si>
  <si>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</si>
  <si>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</si>
  <si>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</si>
  <si>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</si>
  <si>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</si>
  <si>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</si>
  <si>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</si>
  <si>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</si>
  <si>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</si>
  <si>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</si>
  <si>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</si>
  <si>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</si>
  <si>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</si>
  <si>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</si>
  <si>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</si>
  <si>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</si>
  <si>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</si>
  <si>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</si>
  <si>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</si>
  <si>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</si>
  <si>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</si>
  <si>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</si>
  <si>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</si>
  <si>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</si>
  <si>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</si>
  <si>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</si>
  <si>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</si>
  <si>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</si>
  <si>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</si>
  <si>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</si>
  <si>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</si>
  <si>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</si>
  <si>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</si>
  <si>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</si>
  <si>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</si>
  <si>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</si>
  <si>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</si>
  <si>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</si>
  <si>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</si>
  <si>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</si>
  <si>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</si>
  <si>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</si>
  <si>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</si>
  <si>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</si>
  <si>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</si>
  <si>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</si>
  <si>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</si>
  <si>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</si>
  <si>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</si>
  <si>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</si>
  <si>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</si>
  <si>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</si>
  <si>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</si>
  <si>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</si>
  <si>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</si>
  <si>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</si>
  <si>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</si>
  <si>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</si>
  <si>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</si>
  <si>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</si>
  <si>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</si>
  <si>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</si>
  <si>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</si>
  <si>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</si>
  <si>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</si>
  <si>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</si>
  <si>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</si>
  <si>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</si>
  <si>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</si>
  <si>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</si>
  <si>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</si>
  <si>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</si>
  <si>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</si>
  <si>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</si>
  <si>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</si>
  <si>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</si>
  <si>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</si>
  <si>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</si>
  <si>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</si>
  <si>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</si>
  <si>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</si>
  <si>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</si>
  <si>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</si>
  <si>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</si>
  <si>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</si>
  <si>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</si>
  <si>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</si>
  <si>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Selecting and dragging using Ctrl+E</t>
  </si>
  <si>
    <t>Entering the first cell as it is needed per requirement and using the above selecting and dragging using Ctrl+E</t>
  </si>
  <si>
    <t>Replace function and Sum</t>
  </si>
  <si>
    <t>Replace all #N/A values with 20 and summing all the range to find the total cost</t>
  </si>
  <si>
    <t>Helper 1</t>
  </si>
  <si>
    <t>Helper 2</t>
  </si>
  <si>
    <t>Used index match function.</t>
  </si>
  <si>
    <t>Using Index Match fuction to map the values from Table B to find the reference names and match them to the resukted matrix.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</si>
</sst>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7" fillId="0" borderId="0" xfId="0" applyNumberFormat="1" applyFont="1"/>
    <xf numFmtId="167" fontId="3" fillId="0" borderId="0" xfId="0" applyNumberFormat="1" applyFont="1"/>
    <xf numFmtId="167" fontId="18" fillId="0" borderId="0" xfId="0" applyNumberFormat="1" applyFont="1"/>
    <xf numFmtId="2" fontId="3" fillId="0" borderId="6" xfId="0" applyNumberFormat="1" applyFont="1" applyBorder="1"/>
    <xf numFmtId="0" fontId="8" fillId="0" borderId="11" xfId="0" applyFont="1" applyBorder="1"/>
    <xf numFmtId="0" fontId="8" fillId="0" borderId="7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="160" zoomScaleNormal="160" workbookViewId="0">
      <selection activeCell="B11" sqref="B11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7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4" t="s">
        <v>171</v>
      </c>
      <c r="B9" s="25" t="s">
        <v>169</v>
      </c>
    </row>
    <row r="10" spans="1:3" x14ac:dyDescent="0.2">
      <c r="A10" s="33" t="s">
        <v>172</v>
      </c>
      <c r="B10" s="35">
        <v>25</v>
      </c>
    </row>
    <row r="11" spans="1:3" x14ac:dyDescent="0.2">
      <c r="A11" s="33" t="s">
        <v>55</v>
      </c>
      <c r="B11" s="35">
        <v>30</v>
      </c>
    </row>
    <row r="12" spans="1:3" x14ac:dyDescent="0.2">
      <c r="A12" s="33" t="s">
        <v>56</v>
      </c>
      <c r="B12" s="35">
        <v>10</v>
      </c>
    </row>
    <row r="13" spans="1:3" x14ac:dyDescent="0.2">
      <c r="A13" s="33" t="s">
        <v>85</v>
      </c>
      <c r="B13" s="35">
        <v>20</v>
      </c>
    </row>
    <row r="14" spans="1:3" x14ac:dyDescent="0.2">
      <c r="A14" s="33" t="s">
        <v>98</v>
      </c>
      <c r="B14" s="35">
        <v>40</v>
      </c>
    </row>
    <row r="15" spans="1:3" x14ac:dyDescent="0.2">
      <c r="A15" s="36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abSelected="1" topLeftCell="P1" zoomScale="140" zoomScaleNormal="140" workbookViewId="0">
      <pane ySplit="1" topLeftCell="A2" activePane="bottomLeft" state="frozen"/>
      <selection pane="bottomLeft" activeCell="O1" sqref="O1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3" style="44" bestFit="1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3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1:X40"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3FE7A8E8-118A-48AC-9167-6C16C969EED1}">
            <xm:f>NOT(ISERROR(SEARCH(-1,G1)))</xm:f>
            <xm:f>-1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G1:X40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="130" zoomScaleNormal="130" workbookViewId="0">
      <selection activeCell="B11" sqref="B11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2">
        <f>SUMIFS(Dataset!$H$2:$H$40,Dataset!$H$2:$H$40,"&gt;"&amp;20)</f>
        <v>1473.0000000000002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4" zoomScaleNormal="100" workbookViewId="0">
      <selection activeCell="B9" sqref="B9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9" customFormat="1" ht="21" x14ac:dyDescent="0.35">
      <c r="A1" s="40" t="s">
        <v>55</v>
      </c>
      <c r="B1" s="39" t="s">
        <v>164</v>
      </c>
    </row>
    <row r="2" spans="1:7" s="39" customFormat="1" ht="21" x14ac:dyDescent="0.35">
      <c r="B2" s="39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162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>
        <f>VLOOKUP(A6,Dataset!A2:$I$40,7,FALSE)</f>
        <v>2.7</v>
      </c>
      <c r="C6" s="11">
        <f>VLOOKUP(A6,Dataset!$A$2:$O$40,14,FALSE)</f>
        <v>7.6</v>
      </c>
      <c r="D6" s="11">
        <f>VLOOKUP(A6,Dataset!A2:$R$40,18,FALSE)</f>
        <v>4.2</v>
      </c>
      <c r="E6" s="11">
        <f>VLOOKUP(A6,Dataset!A2:$T$40,20,FALSE)</f>
        <v>8.9</v>
      </c>
      <c r="F6" s="8">
        <f>VLOOKUP(A6,Dataset!$A$2:$W$40,22,FALSE)</f>
        <v>4.2</v>
      </c>
    </row>
    <row r="7" spans="1:7" ht="15" x14ac:dyDescent="0.25">
      <c r="A7" s="7" t="s">
        <v>4</v>
      </c>
      <c r="B7" s="11">
        <f>VLOOKUP(A7,Dataset!A3:$I$40,7,FALSE)</f>
        <v>2.7</v>
      </c>
      <c r="C7" s="11">
        <f>VLOOKUP(A7,Dataset!$A$2:$O$40,14,FALSE)</f>
        <v>7.6</v>
      </c>
      <c r="D7" s="11">
        <f>VLOOKUP(A7,Dataset!A3:$R$40,18,FALSE)</f>
        <v>4.2</v>
      </c>
      <c r="E7" s="11">
        <f>VLOOKUP(A7,Dataset!A3:$T$40,20,FALSE)</f>
        <v>8.9</v>
      </c>
      <c r="F7" s="8">
        <f>VLOOKUP(A7,Dataset!$A$2:$W$40,22,FALSE)</f>
        <v>4.2</v>
      </c>
    </row>
    <row r="8" spans="1:7" ht="15" x14ac:dyDescent="0.25">
      <c r="A8" s="7" t="s">
        <v>7</v>
      </c>
      <c r="B8" s="11">
        <f>VLOOKUP(A8,Dataset!A4:$I$40,7,FALSE)</f>
        <v>3.6</v>
      </c>
      <c r="C8" s="11">
        <f>VLOOKUP(A8,Dataset!$A$2:$O$40,14,FALSE)</f>
        <v>11.1</v>
      </c>
      <c r="D8" s="11">
        <f>VLOOKUP(A8,Dataset!A4:$R$40,18,FALSE)</f>
        <v>5.8</v>
      </c>
      <c r="E8" s="11">
        <f>VLOOKUP(A8,Dataset!A4:$T$40,20,FALSE)</f>
        <v>12.2</v>
      </c>
      <c r="F8" s="8">
        <f>VLOOKUP(A8,Dataset!$A$2:$W$40,22,FALSE)</f>
        <v>5.8</v>
      </c>
    </row>
    <row r="9" spans="1:7" ht="15" x14ac:dyDescent="0.25">
      <c r="A9" s="7" t="s">
        <v>8</v>
      </c>
      <c r="B9" s="11">
        <f>VLOOKUP(A9,Dataset!A5:$I$40,7,FALSE)</f>
        <v>4.9000000000000004</v>
      </c>
      <c r="C9" s="11">
        <f>VLOOKUP(A9,Dataset!$A$2:$O$40,14,FALSE)</f>
        <v>13.3</v>
      </c>
      <c r="D9" s="11">
        <f>VLOOKUP(A9,Dataset!A5:$R$40,18,FALSE)</f>
        <v>8.1</v>
      </c>
      <c r="E9" s="11">
        <f>VLOOKUP(A9,Dataset!A5:$T$40,20,FALSE)</f>
        <v>17</v>
      </c>
      <c r="F9" s="8">
        <f>VLOOKUP(A9,Dataset!$A$2:$W$40,22,FALSE)</f>
        <v>8.1</v>
      </c>
    </row>
    <row r="10" spans="1:7" ht="15" x14ac:dyDescent="0.25">
      <c r="A10" s="7" t="s">
        <v>11</v>
      </c>
      <c r="B10" s="11">
        <f>VLOOKUP(A10,Dataset!A6:$I$40,7,FALSE)</f>
        <v>9.4</v>
      </c>
      <c r="C10" s="11">
        <f>VLOOKUP(A10,Dataset!$A$2:$O$40,14,FALSE)</f>
        <v>28.3</v>
      </c>
      <c r="D10" s="11">
        <f>VLOOKUP(A10,Dataset!A6:$R$40,18,FALSE)</f>
        <v>16.100000000000001</v>
      </c>
      <c r="E10" s="11">
        <f>VLOOKUP(A10,Dataset!A6:$T$40,20,FALSE)</f>
        <v>32.799999999999997</v>
      </c>
      <c r="F10" s="8">
        <f>VLOOKUP(A10,Dataset!$A$2:$W$40,22,FALSE)</f>
        <v>16.100000000000001</v>
      </c>
    </row>
    <row r="11" spans="1:7" ht="15" x14ac:dyDescent="0.25">
      <c r="A11" s="7" t="s">
        <v>12</v>
      </c>
      <c r="B11" s="11">
        <f>VLOOKUP(A11,Dataset!A7:$I$40,7,FALSE)</f>
        <v>11.6</v>
      </c>
      <c r="C11" s="11">
        <f>VLOOKUP(A11,Dataset!$A$2:$O$40,14,FALSE)</f>
        <v>35.200000000000003</v>
      </c>
      <c r="D11" s="11">
        <f>VLOOKUP(A11,Dataset!A7:$R$40,18,FALSE)</f>
        <v>21.3</v>
      </c>
      <c r="E11" s="11">
        <f>VLOOKUP(A11,Dataset!A7:$T$40,20,FALSE)</f>
        <v>43</v>
      </c>
      <c r="F11" s="8">
        <f>VLOOKUP(A11,Dataset!$A$2:$W$40,22,FALSE)</f>
        <v>21.3</v>
      </c>
    </row>
    <row r="12" spans="1:7" ht="15" x14ac:dyDescent="0.25">
      <c r="A12" s="7" t="s">
        <v>14</v>
      </c>
      <c r="B12" s="11">
        <f>VLOOKUP(A12,Dataset!A8:$I$40,7,FALSE)</f>
        <v>18.399999999999999</v>
      </c>
      <c r="C12" s="11">
        <f>VLOOKUP(A12,Dataset!$A$2:$O$40,14,FALSE)</f>
        <v>55.6</v>
      </c>
      <c r="D12" s="11">
        <f>VLOOKUP(A12,Dataset!A8:$R$40,18,FALSE)</f>
        <v>33.799999999999997</v>
      </c>
      <c r="E12" s="11">
        <f>VLOOKUP(A12,Dataset!A8:$T$40,20,FALSE)</f>
        <v>67.900000000000006</v>
      </c>
      <c r="F12" s="8">
        <f>VLOOKUP(A12,Dataset!$A$2:$W$40,22,FALSE)</f>
        <v>33.799999999999997</v>
      </c>
    </row>
    <row r="13" spans="1:7" ht="15" x14ac:dyDescent="0.25">
      <c r="A13" s="7" t="s">
        <v>15</v>
      </c>
      <c r="B13" s="11">
        <f>VLOOKUP(A13,Dataset!A9:$I$40,7,FALSE)</f>
        <v>0</v>
      </c>
      <c r="C13" s="11">
        <f>VLOOKUP(A13,Dataset!$A$2:$O$40,14,FALSE)</f>
        <v>0</v>
      </c>
      <c r="D13" s="11">
        <f>VLOOKUP(A13,Dataset!A9:$R$40,18,FALSE)</f>
        <v>0</v>
      </c>
      <c r="E13" s="11">
        <f>VLOOKUP(A13,Dataset!A9:$T$40,20,FALSE)</f>
        <v>0</v>
      </c>
      <c r="F13" s="8">
        <f>VLOOKUP(A13,Dataset!$A$2:$W$40,22,FALSE)</f>
        <v>0</v>
      </c>
    </row>
    <row r="14" spans="1:7" ht="15" x14ac:dyDescent="0.25">
      <c r="A14" s="7" t="s">
        <v>16</v>
      </c>
      <c r="B14" s="11">
        <f>VLOOKUP(A14,Dataset!A10:$I$40,7,FALSE)</f>
        <v>21.9</v>
      </c>
      <c r="C14" s="11">
        <f>VLOOKUP(A14,Dataset!$A$2:$O$40,14,FALSE)</f>
        <v>61.5</v>
      </c>
      <c r="D14" s="11">
        <f>VLOOKUP(A14,Dataset!A10:$R$40,18,FALSE)</f>
        <v>40.1</v>
      </c>
      <c r="E14" s="11">
        <f>VLOOKUP(A14,Dataset!A10:$T$40,20,FALSE)</f>
        <v>76.599999999999994</v>
      </c>
      <c r="F14" s="8">
        <f>VLOOKUP(A14,Dataset!$A$2:$W$40,22,FALSE)</f>
        <v>40.1</v>
      </c>
    </row>
    <row r="15" spans="1:7" ht="15" x14ac:dyDescent="0.25">
      <c r="A15" s="7" t="s">
        <v>18</v>
      </c>
      <c r="B15" s="11">
        <f>VLOOKUP(A15,Dataset!A11:$I$40,7,FALSE)</f>
        <v>26.8</v>
      </c>
      <c r="C15" s="11">
        <f>VLOOKUP(A15,Dataset!$A$2:$O$40,14,FALSE)</f>
        <v>79.599999999999994</v>
      </c>
      <c r="D15" s="11">
        <f>VLOOKUP(A15,Dataset!A11:$R$40,18,FALSE)</f>
        <v>47.9</v>
      </c>
      <c r="E15" s="11">
        <f>VLOOKUP(A15,Dataset!A11:$T$40,20,FALSE)</f>
        <v>96.8</v>
      </c>
      <c r="F15" s="8">
        <f>VLOOKUP(A15,Dataset!$A$2:$W$40,22,FALSE)</f>
        <v>47.9</v>
      </c>
    </row>
    <row r="16" spans="1:7" ht="15" x14ac:dyDescent="0.25">
      <c r="A16" s="7" t="s">
        <v>20</v>
      </c>
      <c r="B16" s="11">
        <f>VLOOKUP(A16,Dataset!A12:$I$40,7,FALSE)</f>
        <v>28.5</v>
      </c>
      <c r="C16" s="11">
        <f>VLOOKUP(A16,Dataset!$A$2:$O$40,14,FALSE)</f>
        <v>85.4</v>
      </c>
      <c r="D16" s="11">
        <f>VLOOKUP(A16,Dataset!A12:$R$40,18,FALSE)</f>
        <v>52.3</v>
      </c>
      <c r="E16" s="11">
        <f>VLOOKUP(A16,Dataset!A12:$T$40,20,FALSE)</f>
        <v>106.1</v>
      </c>
      <c r="F16" s="8">
        <f>VLOOKUP(A16,Dataset!$A$2:$W$40,22,FALSE)</f>
        <v>52.3</v>
      </c>
    </row>
    <row r="17" spans="1:6" ht="15" x14ac:dyDescent="0.25">
      <c r="A17" s="7" t="s">
        <v>22</v>
      </c>
      <c r="B17" s="11">
        <f>VLOOKUP(A17,Dataset!A13:$I$40,7,FALSE)</f>
        <v>30.7</v>
      </c>
      <c r="C17" s="11">
        <f>VLOOKUP(A17,Dataset!$A$2:$O$40,14,FALSE)</f>
        <v>92.1</v>
      </c>
      <c r="D17" s="11">
        <f>VLOOKUP(A17,Dataset!A13:$R$40,18,FALSE)</f>
        <v>57</v>
      </c>
      <c r="E17" s="11">
        <f>VLOOKUP(A17,Dataset!A13:$T$40,20,FALSE)</f>
        <v>115.1</v>
      </c>
      <c r="F17" s="8">
        <f>VLOOKUP(A17,Dataset!$A$2:$W$40,22,FALSE)</f>
        <v>57</v>
      </c>
    </row>
    <row r="18" spans="1:6" ht="15" x14ac:dyDescent="0.25">
      <c r="A18" s="7" t="s">
        <v>23</v>
      </c>
      <c r="B18" s="11">
        <f>VLOOKUP(A18,Dataset!A14:$I$40,7,FALSE)</f>
        <v>33.799999999999997</v>
      </c>
      <c r="C18" s="11">
        <f>VLOOKUP(A18,Dataset!$A$2:$O$40,14,FALSE)</f>
        <v>101.3</v>
      </c>
      <c r="D18" s="11">
        <f>VLOOKUP(A18,Dataset!A14:$R$40,18,FALSE)</f>
        <v>61.4</v>
      </c>
      <c r="E18" s="11">
        <f>VLOOKUP(A18,Dataset!A14:$T$40,20,FALSE)</f>
        <v>124.4</v>
      </c>
      <c r="F18" s="8">
        <f>VLOOKUP(A18,Dataset!$A$2:$W$40,22,FALSE)</f>
        <v>61.4</v>
      </c>
    </row>
    <row r="19" spans="1:6" ht="15" x14ac:dyDescent="0.25">
      <c r="A19" s="7" t="s">
        <v>24</v>
      </c>
      <c r="B19" s="11">
        <f>VLOOKUP(A19,Dataset!A15:$I$40,7,FALSE)</f>
        <v>34.700000000000003</v>
      </c>
      <c r="C19" s="11">
        <f>VLOOKUP(A19,Dataset!$A$2:$O$40,14,FALSE)</f>
        <v>106.1</v>
      </c>
      <c r="D19" s="11">
        <f>VLOOKUP(A19,Dataset!A15:$R$40,18,FALSE)</f>
        <v>63.6</v>
      </c>
      <c r="E19" s="11">
        <f>VLOOKUP(A19,Dataset!A15:$T$40,20,FALSE)</f>
        <v>128.6</v>
      </c>
      <c r="F19" s="8">
        <f>VLOOKUP(A19,Dataset!$A$2:$W$40,22,FALSE)</f>
        <v>63.6</v>
      </c>
    </row>
    <row r="20" spans="1:6" ht="15" x14ac:dyDescent="0.25">
      <c r="A20" s="7" t="s">
        <v>28</v>
      </c>
      <c r="B20" s="11">
        <f>VLOOKUP(A20,Dataset!A16:$I$40,7,FALSE)</f>
        <v>0</v>
      </c>
      <c r="C20" s="11">
        <f>VLOOKUP(A20,Dataset!$A$2:$O$40,14,FALSE)</f>
        <v>0</v>
      </c>
      <c r="D20" s="11">
        <f>VLOOKUP(A20,Dataset!A16:$R$40,18,FALSE)</f>
        <v>0</v>
      </c>
      <c r="E20" s="11">
        <f>VLOOKUP(A20,Dataset!A16:$T$40,20,FALSE)</f>
        <v>0</v>
      </c>
      <c r="F20" s="8">
        <f>VLOOKUP(A20,Dataset!$A$2:$W$40,22,FALSE)</f>
        <v>0</v>
      </c>
    </row>
    <row r="21" spans="1:6" ht="15" x14ac:dyDescent="0.25">
      <c r="A21" s="7" t="s">
        <v>57</v>
      </c>
      <c r="B21" s="11">
        <f>VLOOKUP(A21,Dataset!A17:$I$40,7,FALSE)</f>
        <v>41.3</v>
      </c>
      <c r="C21" s="11">
        <f>VLOOKUP(A21,Dataset!$A$2:$O$40,14,FALSE)</f>
        <v>124.4</v>
      </c>
      <c r="D21" s="11">
        <f>VLOOKUP(A21,Dataset!A17:$R$40,18,FALSE)</f>
        <v>75</v>
      </c>
      <c r="E21" s="11">
        <f>VLOOKUP(A21,Dataset!A17:$T$40,20,FALSE)</f>
        <v>151.5</v>
      </c>
      <c r="F21" s="8">
        <f>VLOOKUP(A21,Dataset!$A$2:$W$40,22,FALSE)</f>
        <v>75</v>
      </c>
    </row>
    <row r="22" spans="1:6" ht="15" x14ac:dyDescent="0.25">
      <c r="A22" s="7" t="s">
        <v>58</v>
      </c>
      <c r="B22" s="11">
        <f>VLOOKUP(A22,Dataset!A18:$I$40,7,FALSE)</f>
        <v>-1</v>
      </c>
      <c r="C22" s="11">
        <f>VLOOKUP(A22,Dataset!$A$2:$O$40,14,FALSE)</f>
        <v>-1</v>
      </c>
      <c r="D22" s="11">
        <f>VLOOKUP(A22,Dataset!A18:$R$40,18,FALSE)</f>
        <v>-1</v>
      </c>
      <c r="E22" s="11">
        <f>VLOOKUP(A22,Dataset!A18:$T$40,20,FALSE)</f>
        <v>-1</v>
      </c>
      <c r="F22" s="8">
        <f>VLOOKUP(A22,Dataset!$A$2:$W$40,22,FALSE)</f>
        <v>-1</v>
      </c>
    </row>
    <row r="23" spans="1:6" ht="15" x14ac:dyDescent="0.25">
      <c r="A23" s="7" t="s">
        <v>31</v>
      </c>
      <c r="B23" s="11">
        <f>VLOOKUP(A23,Dataset!A19:$I$40,7,FALSE)</f>
        <v>45</v>
      </c>
      <c r="C23" s="11">
        <f>VLOOKUP(A23,Dataset!$A$2:$O$40,14,FALSE)</f>
        <v>133.4</v>
      </c>
      <c r="D23" s="11">
        <f>VLOOKUP(A23,Dataset!A19:$R$40,18,FALSE)</f>
        <v>79.400000000000006</v>
      </c>
      <c r="E23" s="11">
        <f>VLOOKUP(A23,Dataset!A19:$T$40,20,FALSE)</f>
        <v>160.9</v>
      </c>
      <c r="F23" s="8">
        <f>VLOOKUP(A23,Dataset!$A$2:$W$40,22,FALSE)</f>
        <v>79.400000000000006</v>
      </c>
    </row>
    <row r="24" spans="1:6" ht="15" x14ac:dyDescent="0.25">
      <c r="A24" s="7" t="s">
        <v>32</v>
      </c>
      <c r="B24" s="11">
        <f>VLOOKUP(A24,Dataset!A20:$I$40,7,FALSE)</f>
        <v>-1</v>
      </c>
      <c r="C24" s="11">
        <f>VLOOKUP(A24,Dataset!$A$2:$O$40,14,FALSE)</f>
        <v>-1</v>
      </c>
      <c r="D24" s="11">
        <f>VLOOKUP(A24,Dataset!A20:$R$40,18,FALSE)</f>
        <v>-1</v>
      </c>
      <c r="E24" s="11">
        <f>VLOOKUP(A24,Dataset!A20:$T$40,20,FALSE)</f>
        <v>-1</v>
      </c>
      <c r="F24" s="8">
        <f>VLOOKUP(A24,Dataset!$A$2:$W$40,22,FALSE)</f>
        <v>-1</v>
      </c>
    </row>
    <row r="25" spans="1:6" ht="15" x14ac:dyDescent="0.25">
      <c r="A25" s="7" t="s">
        <v>34</v>
      </c>
      <c r="B25" s="11">
        <f>VLOOKUP(A25,Dataset!A21:$I$40,7,FALSE)</f>
        <v>43.3</v>
      </c>
      <c r="C25" s="11">
        <f>VLOOKUP(A25,Dataset!$A$2:$O$40,14,FALSE)</f>
        <v>128.6</v>
      </c>
      <c r="D25" s="11">
        <f>VLOOKUP(A25,Dataset!A21:$R$40,18,FALSE)</f>
        <v>79.400000000000006</v>
      </c>
      <c r="E25" s="11">
        <f>VLOOKUP(A25,Dataset!A21:$T$40,20,FALSE)</f>
        <v>160.9</v>
      </c>
      <c r="F25" s="8">
        <f>VLOOKUP(A25,Dataset!$A$2:$W$40,22,FALSE)</f>
        <v>79.400000000000006</v>
      </c>
    </row>
    <row r="26" spans="1:6" ht="15" x14ac:dyDescent="0.25">
      <c r="A26" s="7" t="s">
        <v>37</v>
      </c>
      <c r="B26" s="11">
        <f>VLOOKUP(A26,Dataset!A22:$I$40,7,FALSE)</f>
        <v>49.1</v>
      </c>
      <c r="C26" s="11">
        <f>VLOOKUP(A26,Dataset!$A$2:$O$40,14,FALSE)</f>
        <v>146.80000000000001</v>
      </c>
      <c r="D26" s="11">
        <f>VLOOKUP(A26,Dataset!A22:$R$40,18,FALSE)</f>
        <v>90.9</v>
      </c>
      <c r="E26" s="11">
        <f>VLOOKUP(A26,Dataset!A22:$T$40,20,FALSE)</f>
        <v>183.5</v>
      </c>
      <c r="F26" s="8">
        <f>VLOOKUP(A26,Dataset!$A$2:$W$40,22,FALSE)</f>
        <v>90.9</v>
      </c>
    </row>
    <row r="27" spans="1:6" ht="15" x14ac:dyDescent="0.25">
      <c r="A27" s="7" t="s">
        <v>39</v>
      </c>
      <c r="B27" s="11">
        <f>VLOOKUP(A27,Dataset!A23:$I$40,7,FALSE)</f>
        <v>51.8</v>
      </c>
      <c r="C27" s="11">
        <f>VLOOKUP(A27,Dataset!$A$2:$O$40,14,FALSE)</f>
        <v>156.4</v>
      </c>
      <c r="D27" s="11">
        <f>VLOOKUP(A27,Dataset!A23:$R$40,18,FALSE)</f>
        <v>93.1</v>
      </c>
      <c r="E27" s="11">
        <f>VLOOKUP(A27,Dataset!A23:$T$40,20,FALSE)</f>
        <v>188.1</v>
      </c>
      <c r="F27" s="8">
        <f>VLOOKUP(A27,Dataset!$A$2:$W$40,22,FALSE)</f>
        <v>93.1</v>
      </c>
    </row>
    <row r="28" spans="1:6" ht="15" x14ac:dyDescent="0.25">
      <c r="A28" s="18" t="s">
        <v>82</v>
      </c>
      <c r="B28" s="11">
        <f>MIN(B6:B27)</f>
        <v>-1</v>
      </c>
      <c r="C28" s="11">
        <f t="shared" ref="C28:F28" si="0">MIN(C6:C27)</f>
        <v>-1</v>
      </c>
      <c r="D28" s="11">
        <f t="shared" si="0"/>
        <v>-1</v>
      </c>
      <c r="E28" s="11">
        <f t="shared" si="0"/>
        <v>-1</v>
      </c>
      <c r="F28" s="11">
        <f t="shared" si="0"/>
        <v>-1</v>
      </c>
    </row>
    <row r="29" spans="1:6" ht="15" x14ac:dyDescent="0.25">
      <c r="A29" s="18" t="s">
        <v>83</v>
      </c>
      <c r="B29" s="11">
        <f>MAX(B6:B27)</f>
        <v>51.8</v>
      </c>
      <c r="C29" s="11">
        <f t="shared" ref="C29:F29" si="1">MAX(C6:C27)</f>
        <v>156.4</v>
      </c>
      <c r="D29" s="11">
        <f t="shared" si="1"/>
        <v>93.1</v>
      </c>
      <c r="E29" s="11">
        <f t="shared" si="1"/>
        <v>188.1</v>
      </c>
      <c r="F29" s="11">
        <f t="shared" si="1"/>
        <v>93.1</v>
      </c>
    </row>
    <row r="30" spans="1:6" ht="15" x14ac:dyDescent="0.25">
      <c r="A30" s="18" t="s">
        <v>84</v>
      </c>
      <c r="B30" s="46">
        <f>AVERAGE(B6:B27)</f>
        <v>20.827272727272728</v>
      </c>
      <c r="C30" s="46">
        <f t="shared" ref="C30:F30" si="2">AVERAGE(C6:C27)</f>
        <v>62.377272727272725</v>
      </c>
      <c r="D30" s="46">
        <f t="shared" si="2"/>
        <v>37.800000000000004</v>
      </c>
      <c r="E30" s="46">
        <f t="shared" si="2"/>
        <v>76.418181818181822</v>
      </c>
      <c r="F30" s="46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="110" zoomScaleNormal="110" workbookViewId="0">
      <selection activeCell="B5" sqref="B5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39" customFormat="1" ht="21" x14ac:dyDescent="0.35">
      <c r="A1" s="40" t="s">
        <v>56</v>
      </c>
      <c r="B1" s="39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1" t="s">
        <v>53</v>
      </c>
      <c r="B5" s="38" t="s">
        <v>177</v>
      </c>
    </row>
    <row r="6" spans="1:10" ht="18.75" x14ac:dyDescent="0.3">
      <c r="A6" s="41" t="s">
        <v>153</v>
      </c>
      <c r="B6" s="38" t="s">
        <v>178</v>
      </c>
    </row>
    <row r="7" spans="1:10" ht="18.75" x14ac:dyDescent="0.3">
      <c r="A7" s="41"/>
      <c r="B7" s="38"/>
    </row>
    <row r="9" spans="1:10" ht="23.25" x14ac:dyDescent="0.35">
      <c r="A9" s="17" t="s">
        <v>165</v>
      </c>
      <c r="I9" s="2"/>
      <c r="J9" s="2"/>
    </row>
    <row r="10" spans="1:10" x14ac:dyDescent="0.25">
      <c r="A10" s="31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162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5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25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25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25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25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25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25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5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25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25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25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25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25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25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5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25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25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25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25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25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25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5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25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25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25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25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25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25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5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25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25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25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25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25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25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25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25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25">
      <c r="A54" s="9" t="s">
        <v>120</v>
      </c>
      <c r="B54" s="12">
        <v>21016</v>
      </c>
      <c r="C54" s="1" t="s">
        <v>5</v>
      </c>
      <c r="D54" s="11">
        <v>0</v>
      </c>
      <c r="E54" s="1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4" zoomScale="130" zoomScaleNormal="130" workbookViewId="0">
      <selection activeCell="B8" sqref="B8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0" t="s">
        <v>85</v>
      </c>
      <c r="B1" s="39" t="s">
        <v>167</v>
      </c>
    </row>
    <row r="2" spans="1:3" ht="18.75" x14ac:dyDescent="0.3">
      <c r="B2" s="38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179</v>
      </c>
    </row>
    <row r="7" spans="1:3" ht="15" x14ac:dyDescent="0.25">
      <c r="A7" s="3" t="s">
        <v>153</v>
      </c>
      <c r="B7" s="1" t="s">
        <v>180</v>
      </c>
    </row>
    <row r="10" spans="1:3" ht="23.25" x14ac:dyDescent="0.35">
      <c r="A10" s="17" t="s">
        <v>162</v>
      </c>
    </row>
    <row r="11" spans="1:3" ht="15" x14ac:dyDescent="0.25">
      <c r="A11" s="30" t="s">
        <v>86</v>
      </c>
      <c r="B11" s="16" t="s">
        <v>87</v>
      </c>
      <c r="C11" s="16" t="s">
        <v>88</v>
      </c>
    </row>
    <row r="12" spans="1:3" ht="15" x14ac:dyDescent="0.25">
      <c r="A12" s="30">
        <v>44927</v>
      </c>
      <c r="B12" s="16" t="s">
        <v>59</v>
      </c>
      <c r="C12" s="16">
        <v>200</v>
      </c>
    </row>
    <row r="13" spans="1:3" ht="15" x14ac:dyDescent="0.25">
      <c r="A13" s="30">
        <v>44928</v>
      </c>
      <c r="B13" s="16" t="s">
        <v>60</v>
      </c>
      <c r="C13" s="16">
        <v>20</v>
      </c>
    </row>
    <row r="14" spans="1:3" ht="15" x14ac:dyDescent="0.25">
      <c r="A14" s="30">
        <v>44929</v>
      </c>
      <c r="B14" s="16" t="s">
        <v>61</v>
      </c>
      <c r="C14" s="16">
        <v>50</v>
      </c>
    </row>
    <row r="15" spans="1:3" ht="15" x14ac:dyDescent="0.25">
      <c r="A15" s="30">
        <v>44930</v>
      </c>
      <c r="B15" s="16" t="s">
        <v>62</v>
      </c>
      <c r="C15" s="16">
        <v>20</v>
      </c>
    </row>
    <row r="16" spans="1:3" ht="15" x14ac:dyDescent="0.25">
      <c r="A16" s="30">
        <v>44931</v>
      </c>
      <c r="B16" s="16" t="s">
        <v>63</v>
      </c>
      <c r="C16" s="16">
        <v>10</v>
      </c>
    </row>
    <row r="17" spans="1:3" ht="15" x14ac:dyDescent="0.25">
      <c r="A17" s="30">
        <v>44932</v>
      </c>
      <c r="B17" s="16" t="s">
        <v>154</v>
      </c>
      <c r="C17" s="16">
        <v>150</v>
      </c>
    </row>
    <row r="18" spans="1:3" ht="15" x14ac:dyDescent="0.25">
      <c r="A18" s="30">
        <v>44933</v>
      </c>
      <c r="B18" s="16" t="s">
        <v>155</v>
      </c>
      <c r="C18" s="16">
        <v>80</v>
      </c>
    </row>
    <row r="19" spans="1:3" ht="15" x14ac:dyDescent="0.25">
      <c r="A19" s="30">
        <v>44934</v>
      </c>
      <c r="B19" s="16" t="s">
        <v>156</v>
      </c>
      <c r="C19" s="16">
        <v>20</v>
      </c>
    </row>
    <row r="20" spans="1:3" ht="15" x14ac:dyDescent="0.25">
      <c r="A20" s="30">
        <v>44935</v>
      </c>
      <c r="B20" s="16" t="s">
        <v>157</v>
      </c>
      <c r="C20" s="16">
        <v>30</v>
      </c>
    </row>
    <row r="21" spans="1:3" ht="15" x14ac:dyDescent="0.25">
      <c r="A21" s="30">
        <v>44936</v>
      </c>
      <c r="B21" s="16" t="s">
        <v>158</v>
      </c>
      <c r="C21" s="16">
        <v>20</v>
      </c>
    </row>
    <row r="22" spans="1:3" ht="15" x14ac:dyDescent="0.25">
      <c r="B22" s="16" t="s">
        <v>159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="120" zoomScaleNormal="120" workbookViewId="0">
      <selection activeCell="C6" sqref="C6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0" t="s">
        <v>98</v>
      </c>
      <c r="B1" s="39" t="s">
        <v>175</v>
      </c>
    </row>
    <row r="3" spans="1:14" ht="15" x14ac:dyDescent="0.25">
      <c r="B3" s="1" t="s">
        <v>151</v>
      </c>
    </row>
    <row r="4" spans="1:14" ht="18.75" x14ac:dyDescent="0.3">
      <c r="A4" s="41" t="s">
        <v>53</v>
      </c>
      <c r="B4" s="1"/>
      <c r="C4" s="2" t="s">
        <v>183</v>
      </c>
    </row>
    <row r="5" spans="1:14" ht="18.75" x14ac:dyDescent="0.3">
      <c r="A5" s="41" t="s">
        <v>153</v>
      </c>
      <c r="B5" s="1"/>
      <c r="C5" s="2" t="s">
        <v>184</v>
      </c>
    </row>
    <row r="6" spans="1:14" ht="15" x14ac:dyDescent="0.25">
      <c r="A6" s="3"/>
      <c r="B6" s="1"/>
    </row>
    <row r="8" spans="1:14" ht="23.25" x14ac:dyDescent="0.35">
      <c r="A8" s="17" t="s">
        <v>162</v>
      </c>
      <c r="M8" s="17" t="s">
        <v>163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168</v>
      </c>
    </row>
    <row r="22" spans="1:14" ht="15" x14ac:dyDescent="0.25">
      <c r="A22" s="13" t="s">
        <v>100</v>
      </c>
      <c r="B22" s="16" t="s">
        <v>101</v>
      </c>
      <c r="C22" s="15" t="s">
        <v>102</v>
      </c>
      <c r="D22" s="24" t="s">
        <v>181</v>
      </c>
      <c r="E22" s="24" t="s">
        <v>182</v>
      </c>
    </row>
    <row r="23" spans="1:14" ht="15" x14ac:dyDescent="0.25">
      <c r="A23" s="7">
        <v>10100</v>
      </c>
      <c r="B23" s="11">
        <v>10102</v>
      </c>
      <c r="C23" s="47">
        <f>INDEX($B$10:$J$18,MATCH(D23,$A$10:$A$18,0),MATCH(E23,$B$9:$J$9,0))</f>
        <v>95</v>
      </c>
      <c r="D23" s="47" t="str">
        <f>VLOOKUP(A23,$M$10:$N$18,2,FALSE)</f>
        <v>A</v>
      </c>
      <c r="E23" s="47" t="str">
        <f>VLOOKUP(B23,$M$10:$N$18,2,FALSE)</f>
        <v>B</v>
      </c>
    </row>
    <row r="24" spans="1:14" ht="15" x14ac:dyDescent="0.25">
      <c r="A24" s="7">
        <v>10100</v>
      </c>
      <c r="B24" s="11">
        <v>10104</v>
      </c>
      <c r="C24" s="47">
        <f>INDEX($B$10:$J$18,MATCH(D24,$A$10:$A$18,0),MATCH(E24,$B$9:$J$9,0))</f>
        <v>-1</v>
      </c>
      <c r="D24" s="42" t="str">
        <f>VLOOKUP(A24,$M$10:$N$18,2,FALSE)</f>
        <v>A</v>
      </c>
      <c r="E24" s="35" t="str">
        <f t="shared" ref="E24:E35" si="0">VLOOKUP(B24,$M$10:$N$18,2,FALSE)</f>
        <v>C</v>
      </c>
    </row>
    <row r="25" spans="1:14" ht="15" x14ac:dyDescent="0.25">
      <c r="A25" s="7">
        <v>10108</v>
      </c>
      <c r="B25" s="11">
        <v>10102</v>
      </c>
      <c r="C25" s="47">
        <f t="shared" ref="C25:C35" si="1">INDEX($B$10:$J$18,MATCH(D25,$A$10:$A$18,0),MATCH(E25,$B$9:$J$9,0))</f>
        <v>160</v>
      </c>
      <c r="D25" s="42" t="str">
        <f>VLOOKUP(A25,$M$10:$N$18,2,FALSE)</f>
        <v>E</v>
      </c>
      <c r="E25" s="35" t="str">
        <f t="shared" si="0"/>
        <v>B</v>
      </c>
    </row>
    <row r="26" spans="1:14" ht="15" x14ac:dyDescent="0.25">
      <c r="A26" s="7">
        <v>10100</v>
      </c>
      <c r="B26" s="11">
        <v>10106</v>
      </c>
      <c r="C26" s="47">
        <f t="shared" si="1"/>
        <v>185</v>
      </c>
      <c r="D26" s="42" t="str">
        <f>VLOOKUP(A26,$M$10:$N$18,2,FALSE)</f>
        <v>A</v>
      </c>
      <c r="E26" s="35" t="str">
        <f t="shared" si="0"/>
        <v>D</v>
      </c>
    </row>
    <row r="27" spans="1:14" ht="15" x14ac:dyDescent="0.25">
      <c r="A27" s="7">
        <v>10108</v>
      </c>
      <c r="B27" s="11">
        <v>10110</v>
      </c>
      <c r="C27" s="47">
        <f t="shared" si="1"/>
        <v>50</v>
      </c>
      <c r="D27" s="42" t="str">
        <f>VLOOKUP(A27,$M$10:$N$18,2,FALSE)</f>
        <v>E</v>
      </c>
      <c r="E27" s="35" t="str">
        <f t="shared" si="0"/>
        <v>F</v>
      </c>
    </row>
    <row r="28" spans="1:14" ht="15" x14ac:dyDescent="0.25">
      <c r="A28" s="7">
        <v>10102</v>
      </c>
      <c r="B28" s="11">
        <v>10104</v>
      </c>
      <c r="C28" s="47">
        <f t="shared" si="1"/>
        <v>-1</v>
      </c>
      <c r="D28" s="42" t="str">
        <f>VLOOKUP(A28,$M$10:$N$18,2,FALSE)</f>
        <v>B</v>
      </c>
      <c r="E28" s="35" t="str">
        <f t="shared" si="0"/>
        <v>C</v>
      </c>
    </row>
    <row r="29" spans="1:14" ht="15" x14ac:dyDescent="0.25">
      <c r="A29" s="7">
        <v>10106</v>
      </c>
      <c r="B29" s="11">
        <v>10108</v>
      </c>
      <c r="C29" s="47">
        <f t="shared" si="1"/>
        <v>70</v>
      </c>
      <c r="D29" s="42" t="str">
        <f>VLOOKUP(A29,$M$10:$N$18,2,FALSE)</f>
        <v>D</v>
      </c>
      <c r="E29" s="35" t="str">
        <f t="shared" si="0"/>
        <v>E</v>
      </c>
    </row>
    <row r="30" spans="1:14" ht="15" x14ac:dyDescent="0.25">
      <c r="A30" s="7">
        <v>10102</v>
      </c>
      <c r="B30" s="11">
        <v>10106</v>
      </c>
      <c r="C30" s="47">
        <f t="shared" si="1"/>
        <v>90</v>
      </c>
      <c r="D30" s="42" t="str">
        <f>VLOOKUP(A30,$M$10:$N$18,2,FALSE)</f>
        <v>B</v>
      </c>
      <c r="E30" s="35" t="str">
        <f t="shared" si="0"/>
        <v>D</v>
      </c>
    </row>
    <row r="31" spans="1:14" ht="15" x14ac:dyDescent="0.25">
      <c r="A31" s="7">
        <v>10110</v>
      </c>
      <c r="B31" s="11">
        <v>10114</v>
      </c>
      <c r="C31" s="47">
        <f t="shared" si="1"/>
        <v>180</v>
      </c>
      <c r="D31" s="42" t="str">
        <f>VLOOKUP(A31,$M$10:$N$18,2,FALSE)</f>
        <v>F</v>
      </c>
      <c r="E31" s="35" t="str">
        <f t="shared" si="0"/>
        <v>H</v>
      </c>
    </row>
    <row r="32" spans="1:14" ht="15" x14ac:dyDescent="0.25">
      <c r="A32" s="7">
        <v>10104</v>
      </c>
      <c r="B32" s="11">
        <v>10106</v>
      </c>
      <c r="C32" s="47">
        <f t="shared" si="1"/>
        <v>60</v>
      </c>
      <c r="D32" s="42" t="str">
        <f>VLOOKUP(A32,$M$10:$N$18,2,FALSE)</f>
        <v>C</v>
      </c>
      <c r="E32" s="35" t="str">
        <f t="shared" si="0"/>
        <v>D</v>
      </c>
    </row>
    <row r="33" spans="1:5" ht="15" x14ac:dyDescent="0.25">
      <c r="A33" s="7">
        <v>10110</v>
      </c>
      <c r="B33" s="11">
        <v>10112</v>
      </c>
      <c r="C33" s="47">
        <f t="shared" si="1"/>
        <v>115</v>
      </c>
      <c r="D33" s="42" t="str">
        <f>VLOOKUP(A33,$M$10:$N$18,2,FALSE)</f>
        <v>F</v>
      </c>
      <c r="E33" s="35" t="str">
        <f t="shared" si="0"/>
        <v>G</v>
      </c>
    </row>
    <row r="34" spans="1:5" ht="15" x14ac:dyDescent="0.25">
      <c r="A34" s="7">
        <v>10100</v>
      </c>
      <c r="B34" s="11">
        <v>10114</v>
      </c>
      <c r="C34" s="47">
        <f t="shared" si="1"/>
        <v>480</v>
      </c>
      <c r="D34" s="42" t="str">
        <f>VLOOKUP(A34,$M$10:$N$18,2,FALSE)</f>
        <v>A</v>
      </c>
      <c r="E34" s="35" t="str">
        <f t="shared" si="0"/>
        <v>H</v>
      </c>
    </row>
    <row r="35" spans="1:5" ht="15" x14ac:dyDescent="0.25">
      <c r="A35" s="9">
        <v>10112</v>
      </c>
      <c r="B35" s="12">
        <v>10116</v>
      </c>
      <c r="C35" s="24">
        <f t="shared" si="1"/>
        <v>105</v>
      </c>
      <c r="D35" s="48" t="str">
        <f>VLOOKUP(A35,$M$10:$N$18,2,FALSE)</f>
        <v>G</v>
      </c>
      <c r="E35" s="48" t="str">
        <f t="shared" si="0"/>
        <v>I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Reine D Bharali</cp:lastModifiedBy>
  <dcterms:created xsi:type="dcterms:W3CDTF">2015-02-10T17:33:11Z</dcterms:created>
  <dcterms:modified xsi:type="dcterms:W3CDTF">2023-12-11T14:42:37Z</dcterms:modified>
</cp:coreProperties>
</file>